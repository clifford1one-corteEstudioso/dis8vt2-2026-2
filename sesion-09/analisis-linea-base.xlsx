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osicion" sheetId="2" state="visible" r:id="rId4"/>
    <sheet name="Anuncios por segmento" sheetId="3" state="visible" r:id="rId5"/>
    <sheet name="Pregunta in situ" sheetId="4" state="visible" r:id="rId6"/>
    <sheet name="Motivo vs contenido" sheetId="5" state="visible" r:id="rId7"/>
    <sheet name="Simulacion v2" sheetId="6" state="visible" r:id="rId8"/>
    <sheet name="Sesiones" sheetId="7" state="visible" r:id="rId9"/>
    <sheet name="Umbrales" sheetId="8" state="visible" r:id="rId10"/>
    <sheet name="Not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<sst xmlns="http://schemas.openxmlformats.org/spreadsheetml/2006/main" count="209" uniqueCount="147">
  <si>
    <t xml:space="preserve">Resumen por participante</t>
  </si>
  <si>
    <t xml:space="preserve">Registros de línea base exportados al 28 oct 2026. Cobertura = horas con latido cada ≤45 min / horas entre primer y último evento. Criterio de inclusión: ≥24 h cubiertas y ≥30 min de reels.</t>
  </si>
  <si>
    <t xml:space="preserve">Participante</t>
  </si>
  <si>
    <t xml:space="preserve">Dispositivo</t>
  </si>
  <si>
    <t xml:space="preserve">Marca</t>
  </si>
  <si>
    <t xml:space="preserve">Primer evento</t>
  </si>
  <si>
    <t xml:space="preserve">Último evento</t>
  </si>
  <si>
    <t xml:space="preserve">Horas registradas</t>
  </si>
  <si>
    <t xml:space="preserve">Horas cubiertas</t>
  </si>
  <si>
    <t xml:space="preserve">Cobertura</t>
  </si>
  <si>
    <t xml:space="preserve">Reinicios del servicio</t>
  </si>
  <si>
    <t xml:space="preserve">Visitas a Instagram</t>
  </si>
  <si>
    <t xml:space="preserve">Sesiones (fusión 60 s)</t>
  </si>
  <si>
    <t xml:space="preserve">Mediana visita (s)</t>
  </si>
  <si>
    <t xml:space="preserve">Horas en Instagram</t>
  </si>
  <si>
    <t xml:space="preserve">Minutos en reels</t>
  </si>
  <si>
    <t xml:space="preserve">Incluido en composición</t>
  </si>
  <si>
    <t xml:space="preserve">U1</t>
  </si>
  <si>
    <t xml:space="preserve">V2419</t>
  </si>
  <si>
    <t xml:space="preserve">vivo</t>
  </si>
  <si>
    <t xml:space="preserve">22-10 19:25</t>
  </si>
  <si>
    <t xml:space="preserve">28-10 12:32</t>
  </si>
  <si>
    <t xml:space="preserve">U2</t>
  </si>
  <si>
    <t xml:space="preserve">SM-A266M</t>
  </si>
  <si>
    <t xml:space="preserve">Samsung</t>
  </si>
  <si>
    <t xml:space="preserve">22-10 23:40</t>
  </si>
  <si>
    <t xml:space="preserve">28-10 11:01</t>
  </si>
  <si>
    <t xml:space="preserve">U3</t>
  </si>
  <si>
    <t xml:space="preserve">SM-A736B</t>
  </si>
  <si>
    <t xml:space="preserve">26-10 17:22</t>
  </si>
  <si>
    <t xml:space="preserve">28-10 10:59</t>
  </si>
  <si>
    <t xml:space="preserve">U4</t>
  </si>
  <si>
    <t xml:space="preserve">23129RA5FL</t>
  </si>
  <si>
    <t xml:space="preserve">Xiaomi</t>
  </si>
  <si>
    <t xml:space="preserve">22-10 23:46</t>
  </si>
  <si>
    <t xml:space="preserve">24-10 18:00</t>
  </si>
  <si>
    <t xml:space="preserve">U5</t>
  </si>
  <si>
    <t xml:space="preserve">2406APNFAG</t>
  </si>
  <si>
    <t xml:space="preserve">22-10 17:03</t>
  </si>
  <si>
    <t xml:space="preserve">27-10 03:32</t>
  </si>
  <si>
    <t xml:space="preserve">U6</t>
  </si>
  <si>
    <t xml:space="preserve">SM-G781B</t>
  </si>
  <si>
    <t xml:space="preserve">22-10 22:32</t>
  </si>
  <si>
    <t xml:space="preserve">28-10 10:57</t>
  </si>
  <si>
    <t xml:space="preserve">U7</t>
  </si>
  <si>
    <t xml:space="preserve">V2318</t>
  </si>
  <si>
    <t xml:space="preserve">28-10 14:10</t>
  </si>
  <si>
    <t xml:space="preserve">28-10 16:08</t>
  </si>
  <si>
    <t xml:space="preserve">U8</t>
  </si>
  <si>
    <t xml:space="preserve">Redmi Note 9 Pro</t>
  </si>
  <si>
    <t xml:space="preserve">22-10 22:27</t>
  </si>
  <si>
    <t xml:space="preserve">28-10 05:13</t>
  </si>
  <si>
    <t xml:space="preserve">Total</t>
  </si>
  <si>
    <t xml:space="preserve">Composición del tiempo en reels (proxy v1)</t>
  </si>
  <si>
    <t xml:space="preserve">Segundos por categoría según el origen del contenido. DESCONOCIDO = "visor sin señales claras".</t>
  </si>
  <si>
    <t xml:space="preserve">DIRIGIDO (s)</t>
  </si>
  <si>
    <t xml:space="preserve">ARRASTRE (s)</t>
  </si>
  <si>
    <t xml:space="preserve">DESCONOCIDO (s)</t>
  </si>
  <si>
    <t xml:space="preserve">Total reels (s)</t>
  </si>
  <si>
    <t xml:space="preserve">% dirigido</t>
  </si>
  <si>
    <t xml:space="preserve">% arrastre</t>
  </si>
  <si>
    <t xml:space="preserve">% desconocido</t>
  </si>
  <si>
    <t xml:space="preserve">Densidad de anuncios por tipo de segmento (todos los participantes)</t>
  </si>
  <si>
    <t xml:space="preserve">Evidencia para la regla 2 de v2: los DESCONOCIDO que siguen a explorar/perfil tienen tantos anuncios como el ARRASTRE. "tras X" = fuente del segmento que inició la cadena.</t>
  </si>
  <si>
    <t xml:space="preserve">Tipo de segmento</t>
  </si>
  <si>
    <t xml:space="preserve">Reels</t>
  </si>
  <si>
    <t xml:space="preserve">Anuncios</t>
  </si>
  <si>
    <t xml:space="preserve">No seguidas</t>
  </si>
  <si>
    <t xml:space="preserve">Minutos</t>
  </si>
  <si>
    <t xml:space="preserve">Anuncios por reel</t>
  </si>
  <si>
    <t xml:space="preserve">No seguidas por reel</t>
  </si>
  <si>
    <t xml:space="preserve">ARRASTRE</t>
  </si>
  <si>
    <t xml:space="preserve">DIRIGIDO</t>
  </si>
  <si>
    <t xml:space="preserve">DESCONOCIDO tras explorar</t>
  </si>
  <si>
    <t xml:space="preserve">DESCONOCIDO tras sin contexto</t>
  </si>
  <si>
    <t xml:space="preserve">DESCONOCIDO tras explorar deslizando</t>
  </si>
  <si>
    <t xml:space="preserve">DESCONOCIDO tras perfil</t>
  </si>
  <si>
    <t xml:space="preserve">DESCONOCIDO tras pestaña reels</t>
  </si>
  <si>
    <t xml:space="preserve">DESCONOCIDO tras sugerencias</t>
  </si>
  <si>
    <t xml:space="preserve">DESCONOCIDO tras enviado por mensaje</t>
  </si>
  <si>
    <t xml:space="preserve">Embudo de la pregunta in situ</t>
  </si>
  <si>
    <t xml:space="preserve">Disparadas = mostradas + descartadas + vencidas + saltadas. Descartadas "vuelve" = la persona volvió a Instagram antes de responder.</t>
  </si>
  <si>
    <t xml:space="preserve">Disparadas</t>
  </si>
  <si>
    <t xml:space="preserve">Mostradas</t>
  </si>
  <si>
    <t xml:space="preserve">Respondidas</t>
  </si>
  <si>
    <t xml:space="preserve">Abandonadas</t>
  </si>
  <si>
    <t xml:space="preserve">Descartadas: vuelve a IG</t>
  </si>
  <si>
    <t xml:space="preserve">Descartadas: bloqueo</t>
  </si>
  <si>
    <t xml:space="preserve">Vencidas</t>
  </si>
  <si>
    <t xml:space="preserve">Vuelve en ≤60 s</t>
  </si>
  <si>
    <t xml:space="preserve">Saltadas</t>
  </si>
  <si>
    <t xml:space="preserve">Tasa de respuesta</t>
  </si>
  <si>
    <t xml:space="preserve">% descartadas por volver</t>
  </si>
  <si>
    <t xml:space="preserve">% vueltas en ≤60 s</t>
  </si>
  <si>
    <t xml:space="preserve">Motivo declarado vs contenido de la visita</t>
  </si>
  <si>
    <t xml:space="preserve">Respuestas de todos los participantes, cruzadas con los segmentos registrados durante la visita a la que refieren. Sustenta H4: "habitual" ocurre mayormente sin reels.</t>
  </si>
  <si>
    <t xml:space="preserve">Respuesta</t>
  </si>
  <si>
    <t xml:space="preserve">Sin reels</t>
  </si>
  <si>
    <t xml:space="preserve">Con arrastre</t>
  </si>
  <si>
    <t xml:space="preserve">Desconocido</t>
  </si>
  <si>
    <t xml:space="preserve">Solo dirigido</t>
  </si>
  <si>
    <t xml:space="preserve">% sin reels</t>
  </si>
  <si>
    <t xml:space="preserve">% con arrastre</t>
  </si>
  <si>
    <t xml:space="preserve">habitual</t>
  </si>
  <si>
    <t xml:space="preserve">instrumental</t>
  </si>
  <si>
    <t xml:space="preserve">no_se</t>
  </si>
  <si>
    <t xml:space="preserve">Simulación de las reglas v2 sobre la línea base</t>
  </si>
  <si>
    <t xml:space="preserve">R1 = herencia de entrada (explorar, explorar deslizando, perfil). R2 = segmento con anuncio. Segundos que quedan DESCONOCIDO tras cada regla.</t>
  </si>
  <si>
    <t xml:space="preserve">Reels (s)</t>
  </si>
  <si>
    <t xml:space="preserve">DESCONOCIDO v1 (s)</t>
  </si>
  <si>
    <t xml:space="preserve">Queda con R1 (s)</t>
  </si>
  <si>
    <t xml:space="preserve">Queda con R2 (s)</t>
  </si>
  <si>
    <t xml:space="preserve">Queda con R1+R2 (s)</t>
  </si>
  <si>
    <t xml:space="preserve">% v1</t>
  </si>
  <si>
    <t xml:space="preserve">% R1</t>
  </si>
  <si>
    <t xml:space="preserve">% R2</t>
  </si>
  <si>
    <t xml:space="preserve">% R1+R2</t>
  </si>
  <si>
    <t xml:space="preserve">Criterio ≤10 %</t>
  </si>
  <si>
    <t xml:space="preserve">Criterio (editable)</t>
  </si>
  <si>
    <t xml:space="preserve">Máx. DESCONOCIDO</t>
  </si>
  <si>
    <t xml:space="preserve">Fusión de visitas en sesiones (tarea 1)</t>
  </si>
  <si>
    <t xml:space="preserve">Número de sesiones si se unen visitas separadas por menos de la ventana indicada. Base para elegir VENTANA_FUSION_S.</t>
  </si>
  <si>
    <t xml:space="preserve">Visitas</t>
  </si>
  <si>
    <t xml:space="preserve">Sesiones (10 s)</t>
  </si>
  <si>
    <t xml:space="preserve">Sesiones (30 s)</t>
  </si>
  <si>
    <t xml:space="preserve">Sesiones (60 s)</t>
  </si>
  <si>
    <t xml:space="preserve">Sesiones (120 s)</t>
  </si>
  <si>
    <t xml:space="preserve">Reducción con 60 s</t>
  </si>
  <si>
    <t xml:space="preserve">Descartes por volver</t>
  </si>
  <si>
    <t xml:space="preserve">…cubiertos con 60 s</t>
  </si>
  <si>
    <t xml:space="preserve">…cubiertos con 300 s</t>
  </si>
  <si>
    <t xml:space="preserve">Arrastre por visita: base para el umbral por persona (tarea 4)</t>
  </si>
  <si>
    <t xml:space="preserve">Percentiles calculados en Python sobre visitas con arrastre &gt; 0 (valores fijos, no fórmulas). Umbral propuesto = p75.</t>
  </si>
  <si>
    <t xml:space="preserve">Visitas con arrastre</t>
  </si>
  <si>
    <t xml:space="preserve">p50 arrastre (s)</t>
  </si>
  <si>
    <t xml:space="preserve">p75 arrastre (s) = umbral</t>
  </si>
  <si>
    <t xml:space="preserve">¿Suficientes datos? (≥10)</t>
  </si>
  <si>
    <t xml:space="preserve">Sí</t>
  </si>
  <si>
    <t xml:space="preserve">No (usar valor por defecto)</t>
  </si>
  <si>
    <t xml:space="preserve">Notas y supuestos</t>
  </si>
  <si>
    <t xml:space="preserve">Fuente: archivos estudio-U*-2026-10-28.tsv (registros-dia6). U7 empezó el 28 oct a las 14:10; casi sin datos.</t>
  </si>
  <si>
    <t xml:space="preserve">U4 deja de registrar el 24 oct; U5 el 27 oct; U1 tiene un hueco de ~41 h al inicio.</t>
  </si>
  <si>
    <t xml:space="preserve">Cobertura estimada por latidos (cada 30 min): un hueco &gt;45 min cuenta como tiempo sin registro. No distingue teléfono apagado de servicio detenido.</t>
  </si>
  <si>
    <t xml:space="preserve">Fusión de sesiones: visitas separadas por ≤ ventana se consideran la misma sesión.</t>
  </si>
  <si>
    <t xml:space="preserve">Simulación v2: R1 y R2 se aplican solo a segmentos DESCONOCIDO; DIRIGIDO y ARRASTRE no cambian.</t>
  </si>
  <si>
    <t xml:space="preserve">Cifras preliminares: se recalculan con el corte final (vie 30 oct, 10:00).</t>
  </si>
  <si>
    <t xml:space="preserve">Celdas en azul con fondo amarillo = parámetros editables.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</si>
</sst>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4" min="1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n">
        <v>137.1</v>
      </c>
      <c r="G5" s="4" t="n">
        <v>96.5</v>
      </c>
      <c r="H5" s="5" t="n">
        <f aca="false">IFERROR(G5/F5,0)</f>
        <v>0.703865791393144</v>
      </c>
      <c r="I5" s="4" t="n">
        <v>8</v>
      </c>
      <c r="J5" s="4" t="n">
        <v>576</v>
      </c>
      <c r="K5" s="4" t="n">
        <v>306</v>
      </c>
      <c r="L5" s="4" t="n">
        <v>15</v>
      </c>
      <c r="M5" s="4" t="n">
        <v>8.7</v>
      </c>
      <c r="N5" s="6" t="n">
        <f aca="false">Composicion!E5/60</f>
        <v>45.85</v>
      </c>
      <c r="O5" s="4" t="str">
        <f aca="false">IF(AND(G5&gt;=24,N5&gt;=30),"Sí","No")</f>
        <v>Sí</v>
      </c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n">
        <v>131.3</v>
      </c>
      <c r="G6" s="4" t="n">
        <v>130.6</v>
      </c>
      <c r="H6" s="5" t="n">
        <f aca="false">IFERROR(G6/F6,0)</f>
        <v>0.994668697638995</v>
      </c>
      <c r="I6" s="4" t="n">
        <v>4</v>
      </c>
      <c r="J6" s="4" t="n">
        <v>881</v>
      </c>
      <c r="K6" s="4" t="n">
        <v>388</v>
      </c>
      <c r="L6" s="4" t="n">
        <v>13</v>
      </c>
      <c r="M6" s="4" t="n">
        <v>16</v>
      </c>
      <c r="N6" s="6" t="n">
        <f aca="false">Composicion!E6/60</f>
        <v>443.683333333333</v>
      </c>
      <c r="O6" s="4" t="str">
        <f aca="false">IF(AND(G6&gt;=24,N6&gt;=30),"Sí","No")</f>
        <v>Sí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24</v>
      </c>
      <c r="D7" s="4" t="s">
        <v>29</v>
      </c>
      <c r="E7" s="4" t="s">
        <v>30</v>
      </c>
      <c r="F7" s="4" t="n">
        <v>41.6</v>
      </c>
      <c r="G7" s="4" t="n">
        <v>41.2</v>
      </c>
      <c r="H7" s="5" t="n">
        <f aca="false">IFERROR(G7/F7,0)</f>
        <v>0.990384615384615</v>
      </c>
      <c r="I7" s="4" t="n">
        <v>2</v>
      </c>
      <c r="J7" s="4" t="n">
        <v>101</v>
      </c>
      <c r="K7" s="4" t="n">
        <v>65</v>
      </c>
      <c r="L7" s="4" t="n">
        <v>71</v>
      </c>
      <c r="M7" s="4" t="n">
        <v>5</v>
      </c>
      <c r="N7" s="6" t="n">
        <f aca="false">Composicion!E7/60</f>
        <v>120.05</v>
      </c>
      <c r="O7" s="4" t="str">
        <f aca="false">IF(AND(G7&gt;=24,N7&gt;=30),"Sí","No")</f>
        <v>Sí</v>
      </c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n">
        <v>42.2</v>
      </c>
      <c r="G8" s="4" t="n">
        <v>42.2</v>
      </c>
      <c r="H8" s="5" t="n">
        <f aca="false">IFERROR(G8/F8,0)</f>
        <v>1</v>
      </c>
      <c r="I8" s="4" t="n">
        <v>1</v>
      </c>
      <c r="J8" s="4" t="n">
        <v>19</v>
      </c>
      <c r="K8" s="4" t="n">
        <v>14</v>
      </c>
      <c r="L8" s="4" t="n">
        <v>29</v>
      </c>
      <c r="M8" s="4" t="n">
        <v>0.4</v>
      </c>
      <c r="N8" s="6" t="n">
        <f aca="false">Composicion!E8/60</f>
        <v>1.41666666666667</v>
      </c>
      <c r="O8" s="4" t="str">
        <f aca="false">IF(AND(G8&gt;=24,N8&gt;=30),"Sí","No")</f>
        <v>No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33</v>
      </c>
      <c r="D9" s="4" t="s">
        <v>38</v>
      </c>
      <c r="E9" s="4" t="s">
        <v>39</v>
      </c>
      <c r="F9" s="4" t="n">
        <v>106.5</v>
      </c>
      <c r="G9" s="4" t="n">
        <v>92.1</v>
      </c>
      <c r="H9" s="5" t="n">
        <f aca="false">IFERROR(G9/F9,0)</f>
        <v>0.864788732394366</v>
      </c>
      <c r="I9" s="4" t="n">
        <v>4</v>
      </c>
      <c r="J9" s="4" t="n">
        <v>89</v>
      </c>
      <c r="K9" s="4" t="n">
        <v>62</v>
      </c>
      <c r="L9" s="4" t="n">
        <v>183</v>
      </c>
      <c r="M9" s="4" t="n">
        <v>15.8</v>
      </c>
      <c r="N9" s="6" t="n">
        <f aca="false">Composicion!E9/60</f>
        <v>597.533333333333</v>
      </c>
      <c r="O9" s="4" t="str">
        <f aca="false">IF(AND(G9&gt;=24,N9&gt;=30),"Sí","No")</f>
        <v>Sí</v>
      </c>
    </row>
    <row r="10" customFormat="false" ht="15" hidden="false" customHeight="false" outlineLevel="0" collapsed="false">
      <c r="A10" s="4" t="s">
        <v>40</v>
      </c>
      <c r="B10" s="4" t="s">
        <v>41</v>
      </c>
      <c r="C10" s="4" t="s">
        <v>24</v>
      </c>
      <c r="D10" s="4" t="s">
        <v>42</v>
      </c>
      <c r="E10" s="4" t="s">
        <v>43</v>
      </c>
      <c r="F10" s="4" t="n">
        <v>132.4</v>
      </c>
      <c r="G10" s="4" t="n">
        <v>126.3</v>
      </c>
      <c r="H10" s="5" t="n">
        <f aca="false">IFERROR(G10/F10,0)</f>
        <v>0.95392749244713</v>
      </c>
      <c r="I10" s="4" t="n">
        <v>15</v>
      </c>
      <c r="J10" s="4" t="n">
        <v>333</v>
      </c>
      <c r="K10" s="4" t="n">
        <v>247</v>
      </c>
      <c r="L10" s="4" t="n">
        <v>60</v>
      </c>
      <c r="M10" s="4" t="n">
        <v>12.2</v>
      </c>
      <c r="N10" s="6" t="n">
        <f aca="false">Composicion!E10/60</f>
        <v>245.216666666667</v>
      </c>
      <c r="O10" s="4" t="str">
        <f aca="false">IF(AND(G10&gt;=24,N10&gt;=30),"Sí","No")</f>
        <v>Sí</v>
      </c>
    </row>
    <row r="11" customFormat="false" ht="15" hidden="false" customHeight="false" outlineLevel="0" collapsed="false">
      <c r="A11" s="4" t="s">
        <v>44</v>
      </c>
      <c r="B11" s="4" t="s">
        <v>45</v>
      </c>
      <c r="C11" s="4" t="s">
        <v>19</v>
      </c>
      <c r="D11" s="4" t="s">
        <v>46</v>
      </c>
      <c r="E11" s="4" t="s">
        <v>47</v>
      </c>
      <c r="F11" s="4" t="n">
        <v>2</v>
      </c>
      <c r="G11" s="4" t="n">
        <v>2</v>
      </c>
      <c r="H11" s="5" t="n">
        <f aca="false">IFERROR(G11/F11,0)</f>
        <v>1</v>
      </c>
      <c r="I11" s="4" t="n">
        <v>1</v>
      </c>
      <c r="J11" s="4" t="n">
        <v>4</v>
      </c>
      <c r="K11" s="4" t="n">
        <v>2</v>
      </c>
      <c r="L11" s="4" t="n">
        <v>66</v>
      </c>
      <c r="M11" s="4" t="n">
        <v>0.1</v>
      </c>
      <c r="N11" s="6" t="n">
        <f aca="false">Composicion!E11/60</f>
        <v>0.216666666666667</v>
      </c>
      <c r="O11" s="4" t="str">
        <f aca="false">IF(AND(G11&gt;=24,N11&gt;=30),"Sí","No")</f>
        <v>No</v>
      </c>
    </row>
    <row r="12" customFormat="false" ht="15" hidden="false" customHeight="false" outlineLevel="0" collapsed="false">
      <c r="A12" s="4" t="s">
        <v>48</v>
      </c>
      <c r="B12" s="4" t="s">
        <v>49</v>
      </c>
      <c r="C12" s="4" t="s">
        <v>33</v>
      </c>
      <c r="D12" s="4" t="s">
        <v>50</v>
      </c>
      <c r="E12" s="4" t="s">
        <v>51</v>
      </c>
      <c r="F12" s="4" t="n">
        <v>126.8</v>
      </c>
      <c r="G12" s="4" t="n">
        <v>45.7</v>
      </c>
      <c r="H12" s="5" t="n">
        <f aca="false">IFERROR(G12/F12,0)</f>
        <v>0.360410094637224</v>
      </c>
      <c r="I12" s="4" t="n">
        <v>7</v>
      </c>
      <c r="J12" s="4" t="n">
        <v>98</v>
      </c>
      <c r="K12" s="4" t="n">
        <v>87</v>
      </c>
      <c r="L12" s="4" t="n">
        <v>76</v>
      </c>
      <c r="M12" s="4" t="n">
        <v>5.6</v>
      </c>
      <c r="N12" s="6" t="n">
        <f aca="false">Composicion!E12/60</f>
        <v>97.2333333333333</v>
      </c>
      <c r="O12" s="4" t="str">
        <f aca="false">IF(AND(G12&gt;=24,N12&gt;=30),"Sí","No")</f>
        <v>Sí</v>
      </c>
    </row>
    <row r="13" customFormat="false" ht="15" hidden="false" customHeight="false" outlineLevel="0" collapsed="false">
      <c r="A13" s="7" t="s">
        <v>52</v>
      </c>
      <c r="B13" s="7"/>
      <c r="C13" s="7"/>
      <c r="D13" s="7"/>
      <c r="E13" s="7"/>
      <c r="F13" s="7" t="n">
        <f aca="false">SUM(F5:F12)</f>
        <v>719.9</v>
      </c>
      <c r="G13" s="7" t="n">
        <f aca="false">SUM(G5:G12)</f>
        <v>576.6</v>
      </c>
      <c r="H13" s="8" t="n">
        <f aca="false">G13/F13</f>
        <v>0.800944575635505</v>
      </c>
      <c r="I13" s="7" t="n">
        <f aca="false">SUM(I5:I12)</f>
        <v>42</v>
      </c>
      <c r="J13" s="7" t="n">
        <f aca="false">SUM(J5:J12)</f>
        <v>2101</v>
      </c>
      <c r="K13" s="7" t="n">
        <f aca="false">SUM(K5:K12)</f>
        <v>1171</v>
      </c>
      <c r="L13" s="7"/>
      <c r="M13" s="7" t="n">
        <f aca="false">SUM(M5:M12)</f>
        <v>63.8</v>
      </c>
      <c r="N13" s="9" t="n">
        <f aca="false">SUM(N5:N12)</f>
        <v>1551.2</v>
      </c>
      <c r="O13" s="7" t="n">
        <f aca="false">COUNTIF(O5:O12,"Sí")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</row>
    <row r="5" customFormat="false" ht="15" hidden="false" customHeight="false" outlineLevel="0" collapsed="false">
      <c r="A5" s="4" t="s">
        <v>17</v>
      </c>
      <c r="B5" s="4" t="n">
        <v>810</v>
      </c>
      <c r="C5" s="4" t="n">
        <v>1619</v>
      </c>
      <c r="D5" s="4" t="n">
        <v>322</v>
      </c>
      <c r="E5" s="4" t="n">
        <f aca="false">SUM(B5:D5)</f>
        <v>2751</v>
      </c>
      <c r="F5" s="5" t="n">
        <f aca="false">IFERROR(B5/E5,0)</f>
        <v>0.294438386041439</v>
      </c>
      <c r="G5" s="5" t="n">
        <f aca="false">IFERROR(C5/E5,0)</f>
        <v>0.588513267902581</v>
      </c>
      <c r="H5" s="5" t="n">
        <f aca="false">IFERROR(D5/E5,0)</f>
        <v>0.11704834605598</v>
      </c>
    </row>
    <row r="6" customFormat="false" ht="15" hidden="false" customHeight="false" outlineLevel="0" collapsed="false">
      <c r="A6" s="4" t="s">
        <v>22</v>
      </c>
      <c r="B6" s="4" t="n">
        <v>1592</v>
      </c>
      <c r="C6" s="4" t="n">
        <v>20282</v>
      </c>
      <c r="D6" s="4" t="n">
        <v>4747</v>
      </c>
      <c r="E6" s="4" t="n">
        <f aca="false">SUM(B6:D6)</f>
        <v>26621</v>
      </c>
      <c r="F6" s="5" t="n">
        <f aca="false">IFERROR(B6/E6,0)</f>
        <v>0.0598024116299162</v>
      </c>
      <c r="G6" s="5" t="n">
        <f aca="false">IFERROR(C6/E6,0)</f>
        <v>0.76187971901882</v>
      </c>
      <c r="H6" s="5" t="n">
        <f aca="false">IFERROR(D6/E6,0)</f>
        <v>0.178317869351264</v>
      </c>
    </row>
    <row r="7" customFormat="false" ht="15" hidden="false" customHeight="false" outlineLevel="0" collapsed="false">
      <c r="A7" s="4" t="s">
        <v>27</v>
      </c>
      <c r="B7" s="4" t="n">
        <v>590</v>
      </c>
      <c r="C7" s="4" t="n">
        <v>2947</v>
      </c>
      <c r="D7" s="4" t="n">
        <v>3666</v>
      </c>
      <c r="E7" s="4" t="n">
        <f aca="false">SUM(B7:D7)</f>
        <v>7203</v>
      </c>
      <c r="F7" s="5" t="n">
        <f aca="false">IFERROR(B7/E7,0)</f>
        <v>0.0819103151464668</v>
      </c>
      <c r="G7" s="5" t="n">
        <f aca="false">IFERROR(C7/E7,0)</f>
        <v>0.40913508260447</v>
      </c>
      <c r="H7" s="5" t="n">
        <f aca="false">IFERROR(D7/E7,0)</f>
        <v>0.508954602249063</v>
      </c>
    </row>
    <row r="8" customFormat="false" ht="15" hidden="false" customHeight="false" outlineLevel="0" collapsed="false">
      <c r="A8" s="4" t="s">
        <v>31</v>
      </c>
      <c r="B8" s="4" t="n">
        <v>85</v>
      </c>
      <c r="C8" s="4" t="n">
        <v>0</v>
      </c>
      <c r="D8" s="4" t="n">
        <v>0</v>
      </c>
      <c r="E8" s="4" t="n">
        <f aca="false">SUM(B8:D8)</f>
        <v>85</v>
      </c>
      <c r="F8" s="5" t="n">
        <f aca="false">IFERROR(B8/E8,0)</f>
        <v>1</v>
      </c>
      <c r="G8" s="5" t="n">
        <f aca="false">IFERROR(C8/E8,0)</f>
        <v>0</v>
      </c>
      <c r="H8" s="5" t="n">
        <f aca="false">IFERROR(D8/E8,0)</f>
        <v>0</v>
      </c>
    </row>
    <row r="9" customFormat="false" ht="15" hidden="false" customHeight="false" outlineLevel="0" collapsed="false">
      <c r="A9" s="4" t="s">
        <v>36</v>
      </c>
      <c r="B9" s="4" t="n">
        <v>1799</v>
      </c>
      <c r="C9" s="4" t="n">
        <v>17098</v>
      </c>
      <c r="D9" s="4" t="n">
        <v>16955</v>
      </c>
      <c r="E9" s="4" t="n">
        <f aca="false">SUM(B9:D9)</f>
        <v>35852</v>
      </c>
      <c r="F9" s="5" t="n">
        <f aca="false">IFERROR(B9/E9,0)</f>
        <v>0.0501785116590427</v>
      </c>
      <c r="G9" s="5" t="n">
        <f aca="false">IFERROR(C9/E9,0)</f>
        <v>0.476905054111347</v>
      </c>
      <c r="H9" s="5" t="n">
        <f aca="false">IFERROR(D9/E9,0)</f>
        <v>0.472916434229611</v>
      </c>
    </row>
    <row r="10" customFormat="false" ht="15" hidden="false" customHeight="false" outlineLevel="0" collapsed="false">
      <c r="A10" s="4" t="s">
        <v>40</v>
      </c>
      <c r="B10" s="4" t="n">
        <v>7387</v>
      </c>
      <c r="C10" s="4" t="n">
        <v>1621</v>
      </c>
      <c r="D10" s="4" t="n">
        <v>5705</v>
      </c>
      <c r="E10" s="4" t="n">
        <f aca="false">SUM(B10:D10)</f>
        <v>14713</v>
      </c>
      <c r="F10" s="5" t="n">
        <f aca="false">IFERROR(B10/E10,0)</f>
        <v>0.502072996669612</v>
      </c>
      <c r="G10" s="5" t="n">
        <f aca="false">IFERROR(C10/E10,0)</f>
        <v>0.110174675457079</v>
      </c>
      <c r="H10" s="5" t="n">
        <f aca="false">IFERROR(D10/E10,0)</f>
        <v>0.387752327873309</v>
      </c>
    </row>
    <row r="11" customFormat="false" ht="15" hidden="false" customHeight="false" outlineLevel="0" collapsed="false">
      <c r="A11" s="4" t="s">
        <v>44</v>
      </c>
      <c r="B11" s="4" t="n">
        <v>13</v>
      </c>
      <c r="C11" s="4" t="n">
        <v>0</v>
      </c>
      <c r="D11" s="4" t="n">
        <v>0</v>
      </c>
      <c r="E11" s="4" t="n">
        <f aca="false">SUM(B11:D11)</f>
        <v>13</v>
      </c>
      <c r="F11" s="5" t="n">
        <f aca="false">IFERROR(B11/E11,0)</f>
        <v>1</v>
      </c>
      <c r="G11" s="5" t="n">
        <f aca="false">IFERROR(C11/E11,0)</f>
        <v>0</v>
      </c>
      <c r="H11" s="5" t="n">
        <f aca="false">IFERROR(D11/E11,0)</f>
        <v>0</v>
      </c>
    </row>
    <row r="12" customFormat="false" ht="15" hidden="false" customHeight="false" outlineLevel="0" collapsed="false">
      <c r="A12" s="4" t="s">
        <v>48</v>
      </c>
      <c r="B12" s="4" t="n">
        <v>2351</v>
      </c>
      <c r="C12" s="4" t="n">
        <v>1075</v>
      </c>
      <c r="D12" s="4" t="n">
        <v>2408</v>
      </c>
      <c r="E12" s="4" t="n">
        <f aca="false">SUM(B12:D12)</f>
        <v>5834</v>
      </c>
      <c r="F12" s="5" t="n">
        <f aca="false">IFERROR(B12/E12,0)</f>
        <v>0.402982516283853</v>
      </c>
      <c r="G12" s="5" t="n">
        <f aca="false">IFERROR(C12/E12,0)</f>
        <v>0.184264655467947</v>
      </c>
      <c r="H12" s="5" t="n">
        <f aca="false">IFERROR(D12/E12,0)</f>
        <v>0.4127528282482</v>
      </c>
    </row>
    <row r="13" customFormat="false" ht="15" hidden="false" customHeight="false" outlineLevel="0" collapsed="false">
      <c r="A13" s="7" t="s">
        <v>52</v>
      </c>
      <c r="B13" s="7" t="n">
        <f aca="false">SUM(B5:B12)</f>
        <v>14627</v>
      </c>
      <c r="C13" s="7" t="n">
        <f aca="false">SUM(C5:C12)</f>
        <v>44642</v>
      </c>
      <c r="D13" s="7" t="n">
        <f aca="false">SUM(D5:D12)</f>
        <v>33803</v>
      </c>
      <c r="E13" s="7" t="n">
        <f aca="false">SUM(E5:E12)</f>
        <v>93072</v>
      </c>
      <c r="F13" s="8" t="n">
        <f aca="false">B13/E13</f>
        <v>0.157157899260787</v>
      </c>
      <c r="G13" s="8" t="n">
        <f aca="false">C13/E13</f>
        <v>0.479650163314423</v>
      </c>
      <c r="H13" s="8" t="n">
        <f aca="false">D13/E13</f>
        <v>0.363191937424789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3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</row>
    <row r="5" customFormat="false" ht="15" hidden="false" customHeight="false" outlineLevel="0" collapsed="false">
      <c r="A5" s="4" t="s">
        <v>71</v>
      </c>
      <c r="B5" s="4" t="n">
        <v>2008</v>
      </c>
      <c r="C5" s="4" t="n">
        <v>399</v>
      </c>
      <c r="D5" s="4" t="n">
        <v>1425</v>
      </c>
      <c r="E5" s="4" t="n">
        <v>744</v>
      </c>
      <c r="F5" s="10" t="n">
        <f aca="false">IFERROR(C5/B5,0)</f>
        <v>0.198705179282869</v>
      </c>
      <c r="G5" s="10" t="n">
        <f aca="false">IFERROR(D5/B5,0)</f>
        <v>0.709661354581673</v>
      </c>
    </row>
    <row r="6" customFormat="false" ht="15" hidden="false" customHeight="false" outlineLevel="0" collapsed="false">
      <c r="A6" s="4" t="s">
        <v>72</v>
      </c>
      <c r="B6" s="4" t="n">
        <v>884</v>
      </c>
      <c r="C6" s="4" t="n">
        <v>19</v>
      </c>
      <c r="D6" s="4" t="n">
        <v>722</v>
      </c>
      <c r="E6" s="4" t="n">
        <v>244</v>
      </c>
      <c r="F6" s="10" t="n">
        <f aca="false">IFERROR(C6/B6,0)</f>
        <v>0.0214932126696833</v>
      </c>
      <c r="G6" s="10" t="n">
        <f aca="false">IFERROR(D6/B6,0)</f>
        <v>0.816742081447964</v>
      </c>
    </row>
    <row r="7" customFormat="false" ht="15" hidden="false" customHeight="false" outlineLevel="0" collapsed="false">
      <c r="A7" s="4" t="s">
        <v>73</v>
      </c>
      <c r="B7" s="4" t="n">
        <v>599</v>
      </c>
      <c r="C7" s="4" t="n">
        <v>122</v>
      </c>
      <c r="D7" s="4" t="n">
        <v>443</v>
      </c>
      <c r="E7" s="4" t="n">
        <v>198</v>
      </c>
      <c r="F7" s="10" t="n">
        <f aca="false">IFERROR(C7/B7,0)</f>
        <v>0.203672787979967</v>
      </c>
      <c r="G7" s="10" t="n">
        <f aca="false">IFERROR(D7/B7,0)</f>
        <v>0.739565943238731</v>
      </c>
    </row>
    <row r="8" customFormat="false" ht="15" hidden="false" customHeight="false" outlineLevel="0" collapsed="false">
      <c r="A8" s="4" t="s">
        <v>74</v>
      </c>
      <c r="B8" s="4" t="n">
        <v>394</v>
      </c>
      <c r="C8" s="4" t="n">
        <v>15</v>
      </c>
      <c r="D8" s="4" t="n">
        <v>370</v>
      </c>
      <c r="E8" s="4" t="n">
        <v>172</v>
      </c>
      <c r="F8" s="10" t="n">
        <f aca="false">IFERROR(C8/B8,0)</f>
        <v>0.0380710659898477</v>
      </c>
      <c r="G8" s="10" t="n">
        <f aca="false">IFERROR(D8/B8,0)</f>
        <v>0.939086294416244</v>
      </c>
    </row>
    <row r="9" customFormat="false" ht="15" hidden="false" customHeight="false" outlineLevel="0" collapsed="false">
      <c r="A9" s="4" t="s">
        <v>75</v>
      </c>
      <c r="B9" s="4" t="n">
        <v>237</v>
      </c>
      <c r="C9" s="4" t="n">
        <v>48</v>
      </c>
      <c r="D9" s="4" t="n">
        <v>179</v>
      </c>
      <c r="E9" s="4" t="n">
        <v>92</v>
      </c>
      <c r="F9" s="10" t="n">
        <f aca="false">IFERROR(C9/B9,0)</f>
        <v>0.20253164556962</v>
      </c>
      <c r="G9" s="10" t="n">
        <f aca="false">IFERROR(D9/B9,0)</f>
        <v>0.755274261603376</v>
      </c>
    </row>
    <row r="10" customFormat="false" ht="15" hidden="false" customHeight="false" outlineLevel="0" collapsed="false">
      <c r="A10" s="4" t="s">
        <v>76</v>
      </c>
      <c r="B10" s="4" t="n">
        <v>170</v>
      </c>
      <c r="C10" s="4" t="n">
        <v>29</v>
      </c>
      <c r="D10" s="4" t="n">
        <v>122</v>
      </c>
      <c r="E10" s="4" t="n">
        <v>90</v>
      </c>
      <c r="F10" s="10" t="n">
        <f aca="false">IFERROR(C10/B10,0)</f>
        <v>0.170588235294118</v>
      </c>
      <c r="G10" s="10" t="n">
        <f aca="false">IFERROR(D10/B10,0)</f>
        <v>0.717647058823529</v>
      </c>
    </row>
    <row r="11" customFormat="false" ht="15" hidden="false" customHeight="false" outlineLevel="0" collapsed="false">
      <c r="A11" s="4" t="s">
        <v>77</v>
      </c>
      <c r="B11" s="4" t="n">
        <v>17</v>
      </c>
      <c r="C11" s="4" t="n">
        <v>7</v>
      </c>
      <c r="D11" s="4" t="n">
        <v>8</v>
      </c>
      <c r="E11" s="4" t="n">
        <v>4</v>
      </c>
      <c r="F11" s="10" t="n">
        <f aca="false">IFERROR(C11/B11,0)</f>
        <v>0.411764705882353</v>
      </c>
      <c r="G11" s="10" t="n">
        <f aca="false">IFERROR(D11/B11,0)</f>
        <v>0.470588235294118</v>
      </c>
    </row>
    <row r="12" customFormat="false" ht="15" hidden="false" customHeight="false" outlineLevel="0" collapsed="false">
      <c r="A12" s="4" t="s">
        <v>78</v>
      </c>
      <c r="B12" s="4" t="n">
        <v>6</v>
      </c>
      <c r="C12" s="4" t="n">
        <v>0</v>
      </c>
      <c r="D12" s="4" t="n">
        <v>6</v>
      </c>
      <c r="E12" s="4" t="n">
        <v>4</v>
      </c>
      <c r="F12" s="10" t="n">
        <f aca="false">IFERROR(C12/B12,0)</f>
        <v>0</v>
      </c>
      <c r="G12" s="10" t="n">
        <f aca="false">IFERROR(D12/B12,0)</f>
        <v>1</v>
      </c>
    </row>
    <row r="13" customFormat="false" ht="15" hidden="false" customHeight="false" outlineLevel="0" collapsed="false">
      <c r="A13" s="4" t="s">
        <v>79</v>
      </c>
      <c r="B13" s="4" t="n">
        <v>6</v>
      </c>
      <c r="C13" s="4" t="n">
        <v>0</v>
      </c>
      <c r="D13" s="4" t="n">
        <v>3</v>
      </c>
      <c r="E13" s="4" t="n">
        <v>2</v>
      </c>
      <c r="F13" s="10" t="n">
        <f aca="false">IFERROR(C13/B13,0)</f>
        <v>0</v>
      </c>
      <c r="G13" s="10" t="n">
        <f aca="false">IFERROR(D13/B13,0)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31.5" hidden="false" customHeight="true" outlineLevel="0" collapsed="false">
      <c r="A4" s="3" t="s">
        <v>2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92</v>
      </c>
      <c r="M4" s="3" t="s">
        <v>93</v>
      </c>
    </row>
    <row r="5" customFormat="false" ht="15" hidden="false" customHeight="false" outlineLevel="0" collapsed="false">
      <c r="A5" s="4" t="s">
        <v>17</v>
      </c>
      <c r="B5" s="4" t="n">
        <f aca="false">C5+F5+G5+H5+J5</f>
        <v>80</v>
      </c>
      <c r="C5" s="4" t="n">
        <v>28</v>
      </c>
      <c r="D5" s="4" t="n">
        <v>24</v>
      </c>
      <c r="E5" s="4" t="n">
        <v>4</v>
      </c>
      <c r="F5" s="4" t="n">
        <v>49</v>
      </c>
      <c r="G5" s="4" t="n">
        <v>0</v>
      </c>
      <c r="H5" s="4" t="n">
        <v>3</v>
      </c>
      <c r="I5" s="4" t="n">
        <v>31</v>
      </c>
      <c r="J5" s="4" t="n">
        <v>0</v>
      </c>
      <c r="K5" s="5" t="n">
        <f aca="false">IFERROR(D5/B5,0)</f>
        <v>0.3</v>
      </c>
      <c r="L5" s="5" t="n">
        <f aca="false">IFERROR(F5/B5,0)</f>
        <v>0.6125</v>
      </c>
      <c r="M5" s="5" t="n">
        <f aca="false">IFERROR(I5/F5,0)</f>
        <v>0.63265306122449</v>
      </c>
    </row>
    <row r="6" customFormat="false" ht="15" hidden="false" customHeight="false" outlineLevel="0" collapsed="false">
      <c r="A6" s="4" t="s">
        <v>22</v>
      </c>
      <c r="B6" s="4" t="n">
        <f aca="false">C6+F6+G6+H6+J6</f>
        <v>155</v>
      </c>
      <c r="C6" s="4" t="n">
        <v>39</v>
      </c>
      <c r="D6" s="4" t="n">
        <v>31</v>
      </c>
      <c r="E6" s="4" t="n">
        <v>8</v>
      </c>
      <c r="F6" s="4" t="n">
        <v>102</v>
      </c>
      <c r="G6" s="4" t="n">
        <v>2</v>
      </c>
      <c r="H6" s="4" t="n">
        <v>12</v>
      </c>
      <c r="I6" s="4" t="n">
        <v>94</v>
      </c>
      <c r="J6" s="4" t="n">
        <v>0</v>
      </c>
      <c r="K6" s="5" t="n">
        <f aca="false">IFERROR(D6/B6,0)</f>
        <v>0.2</v>
      </c>
      <c r="L6" s="5" t="n">
        <f aca="false">IFERROR(F6/B6,0)</f>
        <v>0.658064516129032</v>
      </c>
      <c r="M6" s="5" t="n">
        <f aca="false">IFERROR(I6/F6,0)</f>
        <v>0.92156862745098</v>
      </c>
    </row>
    <row r="7" customFormat="false" ht="15" hidden="false" customHeight="false" outlineLevel="0" collapsed="false">
      <c r="A7" s="4" t="s">
        <v>27</v>
      </c>
      <c r="B7" s="4" t="n">
        <f aca="false">C7+F7+G7+H7+J7</f>
        <v>20</v>
      </c>
      <c r="C7" s="4" t="n">
        <v>15</v>
      </c>
      <c r="D7" s="4" t="n">
        <v>9</v>
      </c>
      <c r="E7" s="4" t="n">
        <v>4</v>
      </c>
      <c r="F7" s="4" t="n">
        <v>3</v>
      </c>
      <c r="G7" s="4" t="n">
        <v>0</v>
      </c>
      <c r="H7" s="4" t="n">
        <v>0</v>
      </c>
      <c r="I7" s="4" t="n">
        <v>3</v>
      </c>
      <c r="J7" s="4" t="n">
        <v>2</v>
      </c>
      <c r="K7" s="5" t="n">
        <f aca="false">IFERROR(D7/B7,0)</f>
        <v>0.45</v>
      </c>
      <c r="L7" s="5" t="n">
        <f aca="false">IFERROR(F7/B7,0)</f>
        <v>0.15</v>
      </c>
      <c r="M7" s="5" t="n">
        <f aca="false">IFERROR(I7/F7,0)</f>
        <v>1</v>
      </c>
    </row>
    <row r="8" customFormat="false" ht="15" hidden="false" customHeight="false" outlineLevel="0" collapsed="false">
      <c r="A8" s="4" t="s">
        <v>31</v>
      </c>
      <c r="B8" s="4" t="n">
        <f aca="false">C8+F8+G8+H8+J8</f>
        <v>6</v>
      </c>
      <c r="C8" s="4" t="n">
        <v>6</v>
      </c>
      <c r="D8" s="4" t="n">
        <v>4</v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f aca="false">IFERROR(D8/B8,0)</f>
        <v>0.666666666666667</v>
      </c>
      <c r="L8" s="5" t="n">
        <f aca="false">IFERROR(F8/B8,0)</f>
        <v>0</v>
      </c>
      <c r="M8" s="5" t="n">
        <f aca="false">IFERROR(I8/F8,0)</f>
        <v>0</v>
      </c>
    </row>
    <row r="9" customFormat="false" ht="15" hidden="false" customHeight="false" outlineLevel="0" collapsed="false">
      <c r="A9" s="4" t="s">
        <v>36</v>
      </c>
      <c r="B9" s="4" t="n">
        <f aca="false">C9+F9+G9+H9+J9</f>
        <v>35</v>
      </c>
      <c r="C9" s="4" t="n">
        <v>19</v>
      </c>
      <c r="D9" s="4" t="n">
        <v>16</v>
      </c>
      <c r="E9" s="4" t="n">
        <v>1</v>
      </c>
      <c r="F9" s="4" t="n">
        <v>4</v>
      </c>
      <c r="G9" s="4" t="n">
        <v>9</v>
      </c>
      <c r="H9" s="4" t="n">
        <v>1</v>
      </c>
      <c r="I9" s="4" t="n">
        <v>3</v>
      </c>
      <c r="J9" s="4" t="n">
        <v>2</v>
      </c>
      <c r="K9" s="5" t="n">
        <f aca="false">IFERROR(D9/B9,0)</f>
        <v>0.457142857142857</v>
      </c>
      <c r="L9" s="5" t="n">
        <f aca="false">IFERROR(F9/B9,0)</f>
        <v>0.114285714285714</v>
      </c>
      <c r="M9" s="5" t="n">
        <f aca="false">IFERROR(I9/F9,0)</f>
        <v>0.75</v>
      </c>
    </row>
    <row r="10" customFormat="false" ht="15" hidden="false" customHeight="false" outlineLevel="0" collapsed="false">
      <c r="A10" s="4" t="s">
        <v>40</v>
      </c>
      <c r="B10" s="4" t="n">
        <f aca="false">C10+F10+G10+H10+J10</f>
        <v>51</v>
      </c>
      <c r="C10" s="4" t="n">
        <v>47</v>
      </c>
      <c r="D10" s="4" t="n">
        <v>45</v>
      </c>
      <c r="E10" s="4" t="n">
        <v>1</v>
      </c>
      <c r="F10" s="4" t="n">
        <v>2</v>
      </c>
      <c r="G10" s="4" t="n">
        <v>0</v>
      </c>
      <c r="H10" s="4" t="n">
        <v>1</v>
      </c>
      <c r="I10" s="4" t="n">
        <v>2</v>
      </c>
      <c r="J10" s="4" t="n">
        <v>1</v>
      </c>
      <c r="K10" s="5" t="n">
        <f aca="false">IFERROR(D10/B10,0)</f>
        <v>0.882352941176471</v>
      </c>
      <c r="L10" s="5" t="n">
        <f aca="false">IFERROR(F10/B10,0)</f>
        <v>0.0392156862745098</v>
      </c>
      <c r="M10" s="5" t="n">
        <f aca="false">IFERROR(I10/F10,0)</f>
        <v>1</v>
      </c>
    </row>
    <row r="11" customFormat="false" ht="15" hidden="false" customHeight="false" outlineLevel="0" collapsed="false">
      <c r="A11" s="4" t="s">
        <v>44</v>
      </c>
      <c r="B11" s="4" t="n">
        <f aca="false">C11+F11+G11+H11+J11</f>
        <v>1</v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f aca="false">IFERROR(D11/B11,0)</f>
        <v>1</v>
      </c>
      <c r="L11" s="5" t="n">
        <f aca="false">IFERROR(F11/B11,0)</f>
        <v>0</v>
      </c>
      <c r="M11" s="5" t="n">
        <f aca="false">IFERROR(I11/F11,0)</f>
        <v>0</v>
      </c>
    </row>
    <row r="12" customFormat="false" ht="15" hidden="false" customHeight="false" outlineLevel="0" collapsed="false">
      <c r="A12" s="4" t="s">
        <v>48</v>
      </c>
      <c r="B12" s="4" t="n">
        <f aca="false">C12+F12+G12+H12+J12</f>
        <v>44</v>
      </c>
      <c r="C12" s="4" t="n">
        <v>15</v>
      </c>
      <c r="D12" s="4" t="n">
        <v>14</v>
      </c>
      <c r="E12" s="4" t="n">
        <v>1</v>
      </c>
      <c r="F12" s="4" t="n">
        <v>17</v>
      </c>
      <c r="G12" s="4" t="n">
        <v>0</v>
      </c>
      <c r="H12" s="4" t="n">
        <v>12</v>
      </c>
      <c r="I12" s="4" t="n">
        <v>5</v>
      </c>
      <c r="J12" s="4" t="n">
        <v>0</v>
      </c>
      <c r="K12" s="5" t="n">
        <f aca="false">IFERROR(D12/B12,0)</f>
        <v>0.318181818181818</v>
      </c>
      <c r="L12" s="5" t="n">
        <f aca="false">IFERROR(F12/B12,0)</f>
        <v>0.386363636363636</v>
      </c>
      <c r="M12" s="5" t="n">
        <f aca="false">IFERROR(I12/F12,0)</f>
        <v>0.294117647058824</v>
      </c>
    </row>
    <row r="13" customFormat="false" ht="15" hidden="false" customHeight="false" outlineLevel="0" collapsed="false">
      <c r="A13" s="7" t="s">
        <v>52</v>
      </c>
      <c r="B13" s="7" t="n">
        <f aca="false">SUM(B5:B12)</f>
        <v>392</v>
      </c>
      <c r="C13" s="7" t="n">
        <f aca="false">SUM(C5:C12)</f>
        <v>170</v>
      </c>
      <c r="D13" s="7" t="n">
        <f aca="false">SUM(D5:D12)</f>
        <v>144</v>
      </c>
      <c r="E13" s="7" t="n">
        <f aca="false">SUM(E5:E12)</f>
        <v>21</v>
      </c>
      <c r="F13" s="7" t="n">
        <f aca="false">SUM(F5:F12)</f>
        <v>177</v>
      </c>
      <c r="G13" s="7" t="n">
        <f aca="false">SUM(G5:G12)</f>
        <v>11</v>
      </c>
      <c r="H13" s="7" t="n">
        <f aca="false">SUM(H5:H12)</f>
        <v>29</v>
      </c>
      <c r="I13" s="7" t="n">
        <f aca="false">SUM(I5:I12)</f>
        <v>138</v>
      </c>
      <c r="J13" s="7" t="n">
        <f aca="false">SUM(J5:J12)</f>
        <v>5</v>
      </c>
      <c r="K13" s="8" t="n">
        <f aca="false">D13/B13</f>
        <v>0.36734693877551</v>
      </c>
      <c r="L13" s="8" t="n">
        <f aca="false">F13/B13</f>
        <v>0.451530612244898</v>
      </c>
      <c r="M13" s="8" t="n">
        <f aca="false">I13/F13</f>
        <v>0.779661016949153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52</v>
      </c>
      <c r="G4" s="3" t="s">
        <v>101</v>
      </c>
      <c r="H4" s="3" t="s">
        <v>102</v>
      </c>
    </row>
    <row r="5" customFormat="false" ht="15" hidden="false" customHeight="false" outlineLevel="0" collapsed="false">
      <c r="A5" s="4" t="s">
        <v>103</v>
      </c>
      <c r="B5" s="4" t="n">
        <v>45</v>
      </c>
      <c r="C5" s="4" t="n">
        <v>14</v>
      </c>
      <c r="D5" s="4" t="n">
        <v>6</v>
      </c>
      <c r="E5" s="4" t="n">
        <v>9</v>
      </c>
      <c r="F5" s="4" t="n">
        <f aca="false">SUM(B5:E5)</f>
        <v>74</v>
      </c>
      <c r="G5" s="5" t="n">
        <f aca="false">IFERROR(B5/F5,0)</f>
        <v>0.608108108108108</v>
      </c>
      <c r="H5" s="5" t="n">
        <f aca="false">IFERROR(C5/F5,0)</f>
        <v>0.189189189189189</v>
      </c>
    </row>
    <row r="6" customFormat="false" ht="15" hidden="false" customHeight="false" outlineLevel="0" collapsed="false">
      <c r="A6" s="4" t="s">
        <v>104</v>
      </c>
      <c r="B6" s="4" t="n">
        <v>41</v>
      </c>
      <c r="C6" s="4" t="n">
        <v>7</v>
      </c>
      <c r="D6" s="4" t="n">
        <v>1</v>
      </c>
      <c r="E6" s="4" t="n">
        <v>4</v>
      </c>
      <c r="F6" s="4" t="n">
        <f aca="false">SUM(B6:E6)</f>
        <v>53</v>
      </c>
      <c r="G6" s="5" t="n">
        <f aca="false">IFERROR(B6/F6,0)</f>
        <v>0.773584905660377</v>
      </c>
      <c r="H6" s="5" t="n">
        <f aca="false">IFERROR(C6/F6,0)</f>
        <v>0.132075471698113</v>
      </c>
    </row>
    <row r="7" customFormat="false" ht="15" hidden="false" customHeight="false" outlineLevel="0" collapsed="false">
      <c r="A7" s="4" t="s">
        <v>105</v>
      </c>
      <c r="B7" s="4" t="n">
        <v>11</v>
      </c>
      <c r="C7" s="4" t="n">
        <v>4</v>
      </c>
      <c r="D7" s="4" t="n">
        <v>0</v>
      </c>
      <c r="E7" s="4" t="n">
        <v>2</v>
      </c>
      <c r="F7" s="4" t="n">
        <f aca="false">SUM(B7:E7)</f>
        <v>17</v>
      </c>
      <c r="G7" s="5" t="n">
        <f aca="false">IFERROR(B7/F7,0)</f>
        <v>0.647058823529412</v>
      </c>
      <c r="H7" s="5" t="n">
        <f aca="false">IFERROR(C7/F7,0)</f>
        <v>0.235294117647059</v>
      </c>
    </row>
    <row r="8" customFormat="false" ht="15" hidden="false" customHeight="false" outlineLevel="0" collapsed="false">
      <c r="A8" s="7" t="s">
        <v>52</v>
      </c>
      <c r="B8" s="7" t="n">
        <f aca="false">SUM(B5:B7)</f>
        <v>97</v>
      </c>
      <c r="C8" s="7" t="n">
        <f aca="false">SUM(C5:C7)</f>
        <v>25</v>
      </c>
      <c r="D8" s="7" t="n">
        <f aca="false">SUM(D5:D7)</f>
        <v>7</v>
      </c>
      <c r="E8" s="7" t="n">
        <f aca="false">SUM(E5:E7)</f>
        <v>15</v>
      </c>
      <c r="F8" s="7" t="n">
        <f aca="false">SUM(F5:F7)</f>
        <v>144</v>
      </c>
      <c r="G8" s="8" t="n">
        <f aca="false">B8/F8</f>
        <v>0.673611111111111</v>
      </c>
      <c r="H8" s="8" t="n">
        <f aca="false">C8/F8</f>
        <v>0.173611111111111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2" min="11" style="0" width="18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1.5" hidden="false" customHeight="true" outlineLevel="0" collapsed="false">
      <c r="A4" s="3" t="s">
        <v>2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7" t="s">
        <v>118</v>
      </c>
    </row>
    <row r="5" customFormat="false" ht="15" hidden="false" customHeight="false" outlineLevel="0" collapsed="false">
      <c r="A5" s="4" t="s">
        <v>17</v>
      </c>
      <c r="B5" s="4" t="n">
        <f aca="false">Composicion!E5</f>
        <v>2751</v>
      </c>
      <c r="C5" s="4" t="n">
        <v>322</v>
      </c>
      <c r="D5" s="4" t="n">
        <v>37</v>
      </c>
      <c r="E5" s="4" t="n">
        <v>217</v>
      </c>
      <c r="F5" s="4" t="n">
        <v>37</v>
      </c>
      <c r="G5" s="11" t="n">
        <f aca="false">IFERROR(C5/B5,0)</f>
        <v>0.11704834605598</v>
      </c>
      <c r="H5" s="11" t="n">
        <f aca="false">IFERROR(D5/B5,0)</f>
        <v>0.0134496546710287</v>
      </c>
      <c r="I5" s="11" t="n">
        <f aca="false">IFERROR(E5/B5,0)</f>
        <v>0.0788804071246819</v>
      </c>
      <c r="J5" s="11" t="n">
        <f aca="false">IFERROR(F5/B5,0)</f>
        <v>0.0134496546710287</v>
      </c>
      <c r="K5" s="4" t="str">
        <f aca="false">IF(B5&lt;1800,"Excluido (&lt;30 min)",IF(J5&lt;=$M$5,"Cumple","No cumple"))</f>
        <v>Cumple</v>
      </c>
      <c r="L5" s="12" t="s">
        <v>119</v>
      </c>
      <c r="M5" s="13" t="n">
        <v>0.1</v>
      </c>
    </row>
    <row r="6" customFormat="false" ht="15" hidden="false" customHeight="false" outlineLevel="0" collapsed="false">
      <c r="A6" s="4" t="s">
        <v>22</v>
      </c>
      <c r="B6" s="4" t="n">
        <f aca="false">Composicion!E6</f>
        <v>26621</v>
      </c>
      <c r="C6" s="4" t="n">
        <v>4747</v>
      </c>
      <c r="D6" s="4" t="n">
        <v>624</v>
      </c>
      <c r="E6" s="4" t="n">
        <v>1930</v>
      </c>
      <c r="F6" s="4" t="n">
        <v>544</v>
      </c>
      <c r="G6" s="11" t="n">
        <f aca="false">IFERROR(C6/B6,0)</f>
        <v>0.178317869351264</v>
      </c>
      <c r="H6" s="11" t="n">
        <f aca="false">IFERROR(D6/B6,0)</f>
        <v>0.0234401412418767</v>
      </c>
      <c r="I6" s="11" t="n">
        <f aca="false">IFERROR(E6/B6,0)</f>
        <v>0.0724991548025995</v>
      </c>
      <c r="J6" s="11" t="n">
        <f aca="false">IFERROR(F6/B6,0)</f>
        <v>0.0204349949288156</v>
      </c>
      <c r="K6" s="4" t="str">
        <f aca="false">IF(B6&lt;1800,"Excluido (&lt;30 min)",IF(J6&lt;=$M$5,"Cumple","No cumple"))</f>
        <v>Cumple</v>
      </c>
    </row>
    <row r="7" customFormat="false" ht="15" hidden="false" customHeight="false" outlineLevel="0" collapsed="false">
      <c r="A7" s="4" t="s">
        <v>27</v>
      </c>
      <c r="B7" s="4" t="n">
        <f aca="false">Composicion!E7</f>
        <v>7203</v>
      </c>
      <c r="C7" s="4" t="n">
        <v>3666</v>
      </c>
      <c r="D7" s="4" t="n">
        <v>5</v>
      </c>
      <c r="E7" s="4" t="n">
        <v>821</v>
      </c>
      <c r="F7" s="4" t="n">
        <v>5</v>
      </c>
      <c r="G7" s="11" t="n">
        <f aca="false">IFERROR(C7/B7,0)</f>
        <v>0.508954602249063</v>
      </c>
      <c r="H7" s="11" t="n">
        <f aca="false">IFERROR(D7/B7,0)</f>
        <v>0.00069415521310565</v>
      </c>
      <c r="I7" s="11" t="n">
        <f aca="false">IFERROR(E7/B7,0)</f>
        <v>0.113980285991948</v>
      </c>
      <c r="J7" s="11" t="n">
        <f aca="false">IFERROR(F7/B7,0)</f>
        <v>0.00069415521310565</v>
      </c>
      <c r="K7" s="4" t="str">
        <f aca="false">IF(B7&lt;1800,"Excluido (&lt;30 min)",IF(J7&lt;=$M$5,"Cumple","No cumple"))</f>
        <v>Cumple</v>
      </c>
    </row>
    <row r="8" customFormat="false" ht="15" hidden="false" customHeight="false" outlineLevel="0" collapsed="false">
      <c r="A8" s="4" t="s">
        <v>31</v>
      </c>
      <c r="B8" s="4" t="n">
        <f aca="false">Composicion!E8</f>
        <v>85</v>
      </c>
      <c r="C8" s="4" t="n">
        <v>0</v>
      </c>
      <c r="D8" s="4" t="n">
        <v>0</v>
      </c>
      <c r="E8" s="4" t="n">
        <v>0</v>
      </c>
      <c r="F8" s="4" t="n">
        <v>0</v>
      </c>
      <c r="G8" s="11" t="n">
        <f aca="false">IFERROR(C8/B8,0)</f>
        <v>0</v>
      </c>
      <c r="H8" s="11" t="n">
        <f aca="false">IFERROR(D8/B8,0)</f>
        <v>0</v>
      </c>
      <c r="I8" s="11" t="n">
        <f aca="false">IFERROR(E8/B8,0)</f>
        <v>0</v>
      </c>
      <c r="J8" s="11" t="n">
        <f aca="false">IFERROR(F8/B8,0)</f>
        <v>0</v>
      </c>
      <c r="K8" s="4" t="str">
        <f aca="false">IF(B8&lt;1800,"Excluido (&lt;30 min)",IF(J8&lt;=$M$5,"Cumple","No cumple"))</f>
        <v>Excluido (&lt;30 min)</v>
      </c>
    </row>
    <row r="9" customFormat="false" ht="15" hidden="false" customHeight="false" outlineLevel="0" collapsed="false">
      <c r="A9" s="4" t="s">
        <v>36</v>
      </c>
      <c r="B9" s="4" t="n">
        <f aca="false">Composicion!E9</f>
        <v>35852</v>
      </c>
      <c r="C9" s="4" t="n">
        <v>16955</v>
      </c>
      <c r="D9" s="4" t="n">
        <v>9698</v>
      </c>
      <c r="E9" s="4" t="n">
        <v>997</v>
      </c>
      <c r="F9" s="4" t="n">
        <v>915</v>
      </c>
      <c r="G9" s="11" t="n">
        <f aca="false">IFERROR(C9/B9,0)</f>
        <v>0.472916434229611</v>
      </c>
      <c r="H9" s="11" t="n">
        <f aca="false">IFERROR(D9/B9,0)</f>
        <v>0.270500948343189</v>
      </c>
      <c r="I9" s="11" t="n">
        <f aca="false">IFERROR(E9/B9,0)</f>
        <v>0.0278087693852505</v>
      </c>
      <c r="J9" s="11" t="n">
        <f aca="false">IFERROR(F9/B9,0)</f>
        <v>0.0255215887537655</v>
      </c>
      <c r="K9" s="4" t="str">
        <f aca="false">IF(B9&lt;1800,"Excluido (&lt;30 min)",IF(J9&lt;=$M$5,"Cumple","No cumple"))</f>
        <v>Cumple</v>
      </c>
    </row>
    <row r="10" customFormat="false" ht="15" hidden="false" customHeight="false" outlineLevel="0" collapsed="false">
      <c r="A10" s="4" t="s">
        <v>40</v>
      </c>
      <c r="B10" s="4" t="n">
        <f aca="false">Composicion!E10</f>
        <v>14713</v>
      </c>
      <c r="C10" s="4" t="n">
        <v>5705</v>
      </c>
      <c r="D10" s="4" t="n">
        <v>364</v>
      </c>
      <c r="E10" s="4" t="n">
        <v>2143</v>
      </c>
      <c r="F10" s="4" t="n">
        <v>364</v>
      </c>
      <c r="G10" s="11" t="n">
        <f aca="false">IFERROR(C10/B10,0)</f>
        <v>0.387752327873309</v>
      </c>
      <c r="H10" s="11" t="n">
        <f aca="false">IFERROR(D10/B10,0)</f>
        <v>0.0247400258274995</v>
      </c>
      <c r="I10" s="11" t="n">
        <f aca="false">IFERROR(E10/B10,0)</f>
        <v>0.145653503704207</v>
      </c>
      <c r="J10" s="11" t="n">
        <f aca="false">IFERROR(F10/B10,0)</f>
        <v>0.0247400258274995</v>
      </c>
      <c r="K10" s="4" t="str">
        <f aca="false">IF(B10&lt;1800,"Excluido (&lt;30 min)",IF(J10&lt;=$M$5,"Cumple","No cumple"))</f>
        <v>Cumple</v>
      </c>
    </row>
    <row r="11" customFormat="false" ht="15" hidden="false" customHeight="false" outlineLevel="0" collapsed="false">
      <c r="A11" s="4" t="s">
        <v>44</v>
      </c>
      <c r="B11" s="4" t="n">
        <f aca="false">Composicion!E11</f>
        <v>13</v>
      </c>
      <c r="C11" s="4" t="n">
        <v>0</v>
      </c>
      <c r="D11" s="4" t="n">
        <v>0</v>
      </c>
      <c r="E11" s="4" t="n">
        <v>0</v>
      </c>
      <c r="F11" s="4" t="n">
        <v>0</v>
      </c>
      <c r="G11" s="11" t="n">
        <f aca="false">IFERROR(C11/B11,0)</f>
        <v>0</v>
      </c>
      <c r="H11" s="11" t="n">
        <f aca="false">IFERROR(D11/B11,0)</f>
        <v>0</v>
      </c>
      <c r="I11" s="11" t="n">
        <f aca="false">IFERROR(E11/B11,0)</f>
        <v>0</v>
      </c>
      <c r="J11" s="11" t="n">
        <f aca="false">IFERROR(F11/B11,0)</f>
        <v>0</v>
      </c>
      <c r="K11" s="4" t="str">
        <f aca="false">IF(B11&lt;1800,"Excluido (&lt;30 min)",IF(J11&lt;=$M$5,"Cumple","No cumple"))</f>
        <v>Excluido (&lt;30 min)</v>
      </c>
    </row>
    <row r="12" customFormat="false" ht="15" hidden="false" customHeight="false" outlineLevel="0" collapsed="false">
      <c r="A12" s="4" t="s">
        <v>48</v>
      </c>
      <c r="B12" s="4" t="n">
        <f aca="false">Composicion!E12</f>
        <v>5834</v>
      </c>
      <c r="C12" s="4" t="n">
        <v>2408</v>
      </c>
      <c r="D12" s="4" t="n">
        <v>266</v>
      </c>
      <c r="E12" s="4" t="n">
        <v>1513</v>
      </c>
      <c r="F12" s="4" t="n">
        <v>266</v>
      </c>
      <c r="G12" s="11" t="n">
        <f aca="false">IFERROR(C12/B12,0)</f>
        <v>0.4127528282482</v>
      </c>
      <c r="H12" s="11" t="n">
        <f aca="false">IFERROR(D12/B12,0)</f>
        <v>0.0455947891669524</v>
      </c>
      <c r="I12" s="11" t="n">
        <f aca="false">IFERROR(E12/B12,0)</f>
        <v>0.25934178950977</v>
      </c>
      <c r="J12" s="11" t="n">
        <f aca="false">IFERROR(F12/B12,0)</f>
        <v>0.0455947891669524</v>
      </c>
      <c r="K12" s="4" t="str">
        <f aca="false">IF(B12&lt;1800,"Excluido (&lt;30 min)",IF(J12&lt;=$M$5,"Cumple","No cumple"))</f>
        <v>Cumple</v>
      </c>
    </row>
    <row r="13" customFormat="false" ht="15" hidden="false" customHeight="false" outlineLevel="0" collapsed="false">
      <c r="A13" s="7" t="s">
        <v>52</v>
      </c>
      <c r="B13" s="7" t="n">
        <f aca="false">SUM(B5:B12)</f>
        <v>93072</v>
      </c>
      <c r="C13" s="7" t="n">
        <f aca="false">SUM(C5:C12)</f>
        <v>33803</v>
      </c>
      <c r="D13" s="7" t="n">
        <f aca="false">SUM(D5:D12)</f>
        <v>10994</v>
      </c>
      <c r="E13" s="7" t="n">
        <f aca="false">SUM(E5:E12)</f>
        <v>7621</v>
      </c>
      <c r="F13" s="7" t="n">
        <f aca="false">SUM(F5:F12)</f>
        <v>2131</v>
      </c>
      <c r="G13" s="14" t="n">
        <f aca="false">C13/B13</f>
        <v>0.363191937424789</v>
      </c>
      <c r="H13" s="14" t="n">
        <f aca="false">D13/B13</f>
        <v>0.118123603231906</v>
      </c>
      <c r="I13" s="14" t="n">
        <f aca="false">E13/B13</f>
        <v>0.0818828433900636</v>
      </c>
      <c r="J13" s="14" t="n">
        <f aca="false">F13/B13</f>
        <v>0.0228962523637614</v>
      </c>
      <c r="K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8" min="3" style="0" width="12"/>
    <col collapsed="false" customWidth="true" hidden="false" outlineLevel="0" max="10" min="9" style="0" width="13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1.5" hidden="false" customHeight="true" outlineLevel="0" collapsed="false">
      <c r="A4" s="3" t="s">
        <v>2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  <c r="I4" s="3" t="s">
        <v>129</v>
      </c>
      <c r="J4" s="3" t="s">
        <v>130</v>
      </c>
    </row>
    <row r="5" customFormat="false" ht="15" hidden="false" customHeight="false" outlineLevel="0" collapsed="false">
      <c r="A5" s="4" t="s">
        <v>17</v>
      </c>
      <c r="B5" s="4" t="n">
        <v>576</v>
      </c>
      <c r="C5" s="4" t="n">
        <v>448</v>
      </c>
      <c r="D5" s="4" t="n">
        <v>395</v>
      </c>
      <c r="E5" s="4" t="n">
        <v>306</v>
      </c>
      <c r="F5" s="4" t="n">
        <v>241</v>
      </c>
      <c r="G5" s="5" t="n">
        <f aca="false">IFERROR(1-E5/B5,0)</f>
        <v>0.46875</v>
      </c>
      <c r="H5" s="4" t="n">
        <v>49</v>
      </c>
      <c r="I5" s="4" t="n">
        <v>31</v>
      </c>
      <c r="J5" s="4" t="n">
        <v>41</v>
      </c>
    </row>
    <row r="6" customFormat="false" ht="15" hidden="false" customHeight="false" outlineLevel="0" collapsed="false">
      <c r="A6" s="4" t="s">
        <v>22</v>
      </c>
      <c r="B6" s="4" t="n">
        <v>881</v>
      </c>
      <c r="C6" s="4" t="n">
        <v>513</v>
      </c>
      <c r="D6" s="4" t="n">
        <v>462</v>
      </c>
      <c r="E6" s="4" t="n">
        <v>388</v>
      </c>
      <c r="F6" s="4" t="n">
        <v>315</v>
      </c>
      <c r="G6" s="5" t="n">
        <f aca="false">IFERROR(1-E6/B6,0)</f>
        <v>0.559591373439274</v>
      </c>
      <c r="H6" s="4" t="n">
        <v>102</v>
      </c>
      <c r="I6" s="4" t="n">
        <v>94</v>
      </c>
      <c r="J6" s="4" t="n">
        <v>102</v>
      </c>
    </row>
    <row r="7" customFormat="false" ht="15" hidden="false" customHeight="false" outlineLevel="0" collapsed="false">
      <c r="A7" s="4" t="s">
        <v>27</v>
      </c>
      <c r="B7" s="4" t="n">
        <v>101</v>
      </c>
      <c r="C7" s="4" t="n">
        <v>82</v>
      </c>
      <c r="D7" s="4" t="n">
        <v>76</v>
      </c>
      <c r="E7" s="4" t="n">
        <v>65</v>
      </c>
      <c r="F7" s="4" t="n">
        <v>54</v>
      </c>
      <c r="G7" s="5" t="n">
        <f aca="false">IFERROR(1-E7/B7,0)</f>
        <v>0.356435643564356</v>
      </c>
      <c r="H7" s="4" t="n">
        <v>3</v>
      </c>
      <c r="I7" s="4" t="n">
        <v>3</v>
      </c>
      <c r="J7" s="4" t="n">
        <v>3</v>
      </c>
    </row>
    <row r="8" customFormat="false" ht="15" hidden="false" customHeight="false" outlineLevel="0" collapsed="false">
      <c r="A8" s="4" t="s">
        <v>31</v>
      </c>
      <c r="B8" s="4" t="n">
        <v>19</v>
      </c>
      <c r="C8" s="4" t="n">
        <v>19</v>
      </c>
      <c r="D8" s="4" t="n">
        <v>17</v>
      </c>
      <c r="E8" s="4" t="n">
        <v>14</v>
      </c>
      <c r="F8" s="4" t="n">
        <v>14</v>
      </c>
      <c r="G8" s="5" t="n">
        <f aca="false">IFERROR(1-E8/B8,0)</f>
        <v>0.263157894736842</v>
      </c>
      <c r="H8" s="4" t="n">
        <v>0</v>
      </c>
      <c r="I8" s="4" t="n">
        <v>0</v>
      </c>
      <c r="J8" s="4" t="n">
        <v>0</v>
      </c>
    </row>
    <row r="9" customFormat="false" ht="15" hidden="false" customHeight="false" outlineLevel="0" collapsed="false">
      <c r="A9" s="4" t="s">
        <v>36</v>
      </c>
      <c r="B9" s="4" t="n">
        <v>89</v>
      </c>
      <c r="C9" s="4" t="n">
        <v>74</v>
      </c>
      <c r="D9" s="4" t="n">
        <v>67</v>
      </c>
      <c r="E9" s="4" t="n">
        <v>62</v>
      </c>
      <c r="F9" s="4" t="n">
        <v>54</v>
      </c>
      <c r="G9" s="5" t="n">
        <f aca="false">IFERROR(1-E9/B9,0)</f>
        <v>0.303370786516854</v>
      </c>
      <c r="H9" s="4" t="n">
        <v>4</v>
      </c>
      <c r="I9" s="4" t="n">
        <v>3</v>
      </c>
      <c r="J9" s="4" t="n">
        <v>4</v>
      </c>
    </row>
    <row r="10" customFormat="false" ht="15" hidden="false" customHeight="false" outlineLevel="0" collapsed="false">
      <c r="A10" s="4" t="s">
        <v>40</v>
      </c>
      <c r="B10" s="4" t="n">
        <v>333</v>
      </c>
      <c r="C10" s="4" t="n">
        <v>292</v>
      </c>
      <c r="D10" s="4" t="n">
        <v>268</v>
      </c>
      <c r="E10" s="4" t="n">
        <v>247</v>
      </c>
      <c r="F10" s="4" t="n">
        <v>220</v>
      </c>
      <c r="G10" s="5" t="n">
        <f aca="false">IFERROR(1-E10/B10,0)</f>
        <v>0.258258258258258</v>
      </c>
      <c r="H10" s="4" t="n">
        <v>2</v>
      </c>
      <c r="I10" s="4" t="n">
        <v>2</v>
      </c>
      <c r="J10" s="4" t="n">
        <v>2</v>
      </c>
    </row>
    <row r="11" customFormat="false" ht="15" hidden="false" customHeight="false" outlineLevel="0" collapsed="false">
      <c r="A11" s="4" t="s">
        <v>44</v>
      </c>
      <c r="B11" s="4" t="n">
        <v>4</v>
      </c>
      <c r="C11" s="4" t="n">
        <v>3</v>
      </c>
      <c r="D11" s="4" t="n">
        <v>2</v>
      </c>
      <c r="E11" s="4" t="n">
        <v>2</v>
      </c>
      <c r="F11" s="4" t="n">
        <v>2</v>
      </c>
      <c r="G11" s="5" t="n">
        <f aca="false">IFERROR(1-E11/B11,0)</f>
        <v>0.5</v>
      </c>
      <c r="H11" s="4" t="n">
        <v>0</v>
      </c>
      <c r="I11" s="4" t="n">
        <v>0</v>
      </c>
      <c r="J11" s="4" t="n">
        <v>0</v>
      </c>
    </row>
    <row r="12" customFormat="false" ht="15" hidden="false" customHeight="false" outlineLevel="0" collapsed="false">
      <c r="A12" s="4" t="s">
        <v>48</v>
      </c>
      <c r="B12" s="4" t="n">
        <v>98</v>
      </c>
      <c r="C12" s="4" t="n">
        <v>95</v>
      </c>
      <c r="D12" s="4" t="n">
        <v>95</v>
      </c>
      <c r="E12" s="4" t="n">
        <v>87</v>
      </c>
      <c r="F12" s="4" t="n">
        <v>76</v>
      </c>
      <c r="G12" s="5" t="n">
        <f aca="false">IFERROR(1-E12/B12,0)</f>
        <v>0.112244897959184</v>
      </c>
      <c r="H12" s="4" t="n">
        <v>17</v>
      </c>
      <c r="I12" s="4" t="n">
        <v>5</v>
      </c>
      <c r="J12" s="4" t="n">
        <v>12</v>
      </c>
    </row>
    <row r="13" customFormat="false" ht="15" hidden="false" customHeight="false" outlineLevel="0" collapsed="false">
      <c r="A13" s="7" t="s">
        <v>52</v>
      </c>
      <c r="B13" s="7" t="n">
        <f aca="false">SUM(B5:B12)</f>
        <v>2101</v>
      </c>
      <c r="C13" s="7" t="n">
        <f aca="false">SUM(C5:C12)</f>
        <v>1526</v>
      </c>
      <c r="D13" s="7" t="n">
        <f aca="false">SUM(D5:D12)</f>
        <v>1382</v>
      </c>
      <c r="E13" s="7" t="n">
        <f aca="false">SUM(E5:E12)</f>
        <v>1171</v>
      </c>
      <c r="F13" s="7" t="n">
        <f aca="false">SUM(F5:F12)</f>
        <v>976</v>
      </c>
      <c r="G13" s="8" t="n">
        <f aca="false">1-E13/B13</f>
        <v>0.442646358876725</v>
      </c>
      <c r="H13" s="7" t="n">
        <f aca="false">SUM(H5:H12)</f>
        <v>177</v>
      </c>
      <c r="I13" s="7" t="n">
        <f aca="false">SUM(I5:I12)</f>
        <v>138</v>
      </c>
      <c r="J13" s="7" t="n">
        <f aca="false">SUM(J5:J12)</f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31.5" hidden="false" customHeight="true" outlineLevel="0" collapsed="false">
      <c r="A4" s="3" t="s">
        <v>2</v>
      </c>
      <c r="B4" s="3" t="s">
        <v>133</v>
      </c>
      <c r="C4" s="3" t="s">
        <v>134</v>
      </c>
      <c r="D4" s="3" t="s">
        <v>135</v>
      </c>
      <c r="E4" s="3" t="s">
        <v>136</v>
      </c>
    </row>
    <row r="5" customFormat="false" ht="15" hidden="false" customHeight="false" outlineLevel="0" collapsed="false">
      <c r="A5" s="4" t="s">
        <v>17</v>
      </c>
      <c r="B5" s="4" t="n">
        <v>24</v>
      </c>
      <c r="C5" s="4" t="n">
        <v>52</v>
      </c>
      <c r="D5" s="4" t="n">
        <v>73</v>
      </c>
      <c r="E5" s="4" t="s">
        <v>137</v>
      </c>
    </row>
    <row r="6" customFormat="false" ht="15" hidden="false" customHeight="false" outlineLevel="0" collapsed="false">
      <c r="A6" s="4" t="s">
        <v>22</v>
      </c>
      <c r="B6" s="4" t="n">
        <v>98</v>
      </c>
      <c r="C6" s="4" t="n">
        <v>76</v>
      </c>
      <c r="D6" s="4" t="n">
        <v>236</v>
      </c>
      <c r="E6" s="4" t="s">
        <v>137</v>
      </c>
    </row>
    <row r="7" customFormat="false" ht="15" hidden="false" customHeight="false" outlineLevel="0" collapsed="false">
      <c r="A7" s="4" t="s">
        <v>27</v>
      </c>
      <c r="B7" s="4" t="n">
        <v>22</v>
      </c>
      <c r="C7" s="4" t="n">
        <v>60</v>
      </c>
      <c r="D7" s="4" t="n">
        <v>192</v>
      </c>
      <c r="E7" s="4" t="s">
        <v>137</v>
      </c>
    </row>
    <row r="8" customFormat="false" ht="15" hidden="false" customHeight="false" outlineLevel="0" collapsed="false">
      <c r="A8" s="4" t="s">
        <v>31</v>
      </c>
      <c r="B8" s="4" t="n">
        <v>0</v>
      </c>
      <c r="C8" s="4"/>
      <c r="D8" s="4"/>
      <c r="E8" s="4" t="s">
        <v>138</v>
      </c>
    </row>
    <row r="9" customFormat="false" ht="15" hidden="false" customHeight="false" outlineLevel="0" collapsed="false">
      <c r="A9" s="4" t="s">
        <v>36</v>
      </c>
      <c r="B9" s="4" t="n">
        <v>35</v>
      </c>
      <c r="C9" s="4" t="n">
        <v>60</v>
      </c>
      <c r="D9" s="4" t="n">
        <v>474</v>
      </c>
      <c r="E9" s="4" t="s">
        <v>137</v>
      </c>
    </row>
    <row r="10" customFormat="false" ht="15" hidden="false" customHeight="false" outlineLevel="0" collapsed="false">
      <c r="A10" s="4" t="s">
        <v>40</v>
      </c>
      <c r="B10" s="4" t="n">
        <v>51</v>
      </c>
      <c r="C10" s="4" t="n">
        <v>18</v>
      </c>
      <c r="D10" s="4" t="n">
        <v>42</v>
      </c>
      <c r="E10" s="4" t="s">
        <v>137</v>
      </c>
    </row>
    <row r="11" customFormat="false" ht="15" hidden="false" customHeight="false" outlineLevel="0" collapsed="false">
      <c r="A11" s="4" t="s">
        <v>44</v>
      </c>
      <c r="B11" s="4" t="n">
        <v>0</v>
      </c>
      <c r="C11" s="4"/>
      <c r="D11" s="4"/>
      <c r="E11" s="4" t="s">
        <v>138</v>
      </c>
    </row>
    <row r="12" customFormat="false" ht="15" hidden="false" customHeight="false" outlineLevel="0" collapsed="false">
      <c r="A12" s="4" t="s">
        <v>48</v>
      </c>
      <c r="B12" s="4" t="n">
        <v>7</v>
      </c>
      <c r="C12" s="4" t="n">
        <v>116</v>
      </c>
      <c r="D12" s="4" t="n">
        <v>210</v>
      </c>
      <c r="E12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139</v>
      </c>
    </row>
    <row r="3" customFormat="false" ht="15" hidden="false" customHeight="false" outlineLevel="0" collapsed="false">
      <c r="A3" s="12" t="s">
        <v>140</v>
      </c>
    </row>
    <row r="4" customFormat="false" ht="15" hidden="false" customHeight="false" outlineLevel="0" collapsed="false">
      <c r="A4" s="12" t="s">
        <v>141</v>
      </c>
    </row>
    <row r="5" customFormat="false" ht="15" hidden="false" customHeight="false" outlineLevel="0" collapsed="false">
      <c r="A5" s="12" t="s">
        <v>142</v>
      </c>
    </row>
    <row r="6" customFormat="false" ht="15" hidden="false" customHeight="false" outlineLevel="0" collapsed="false">
      <c r="A6" s="12" t="s">
        <v>143</v>
      </c>
    </row>
    <row r="7" customFormat="false" ht="15" hidden="false" customHeight="false" outlineLevel="0" collapsed="false">
      <c r="A7" s="12" t="s">
        <v>144</v>
      </c>
    </row>
    <row r="8" customFormat="false" ht="15" hidden="false" customHeight="false" outlineLevel="0" collapsed="false">
      <c r="A8" s="12" t="s">
        <v>145</v>
      </c>
    </row>
    <row r="9" customFormat="false" ht="15" hidden="false" customHeight="false" outlineLevel="0" collapsed="false">
      <c r="A9" s="1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2026-10-28T19:12:24Z</dcterms:created>
  <dc:creator>openpyxl</dc:creator>
  <dc:description/>
  <dc:language>en-US</dc:language>
  <cp:lastModifiedBy/>
  <dcterms:modified xsi:type="dcterms:W3CDTF">2026-10-28T19:12:24Z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